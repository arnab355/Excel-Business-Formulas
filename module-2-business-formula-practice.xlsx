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ales Data" sheetId="1" r:id="rId1"/>
    <sheet name="High Value Sales" sheetId="2" r:id="rId2"/>
    <sheet name="Product Price Lis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<sst xmlns="http://schemas.openxmlformats.org/spreadsheetml/2006/main" count="93" uniqueCount="55">
  <si>
    <t>Order ID</t>
  </si>
  <si>
    <t>Salesperson</t>
  </si>
  <si>
    <t>Region</t>
  </si>
  <si>
    <t>Product</t>
  </si>
  <si>
    <t>Quantity</t>
  </si>
  <si>
    <t>Unit Price</t>
  </si>
  <si>
    <t>Total Sales</t>
  </si>
  <si>
    <t>Status</t>
  </si>
  <si>
    <t>Performance</t>
  </si>
  <si>
    <t>Sales Info</t>
  </si>
  <si>
    <t>Ord-101</t>
  </si>
  <si>
    <t>Arnab Saha</t>
  </si>
  <si>
    <t>North</t>
  </si>
  <si>
    <t>Laptop</t>
  </si>
  <si>
    <t>Ord-102</t>
  </si>
  <si>
    <t>Prottay Saha</t>
  </si>
  <si>
    <t>East</t>
  </si>
  <si>
    <t>Mobile</t>
  </si>
  <si>
    <t>Ord-103</t>
  </si>
  <si>
    <t>Arnab Prottay</t>
  </si>
  <si>
    <t>Tablet</t>
  </si>
  <si>
    <t>Ord-104</t>
  </si>
  <si>
    <t>Arpita Saha</t>
  </si>
  <si>
    <t>South</t>
  </si>
  <si>
    <t>Total Sales For Laptop</t>
  </si>
  <si>
    <t>Ord-105</t>
  </si>
  <si>
    <t>Alex Hales</t>
  </si>
  <si>
    <t>West</t>
  </si>
  <si>
    <t>Number of orders from North</t>
  </si>
  <si>
    <t>Ord-106</t>
  </si>
  <si>
    <t>Rahim Rahman</t>
  </si>
  <si>
    <t>Total Sales for Mobile in South region</t>
  </si>
  <si>
    <t>Ord-107</t>
  </si>
  <si>
    <t>Karim Khandakar</t>
  </si>
  <si>
    <t>Number of East region orders with Total Sales &gt; 1000</t>
  </si>
  <si>
    <t>Ord-108</t>
  </si>
  <si>
    <t>Purba Saha</t>
  </si>
  <si>
    <t>Average Total Sales for Tablet</t>
  </si>
  <si>
    <t>Ord-109</t>
  </si>
  <si>
    <t>Kiron Das</t>
  </si>
  <si>
    <t>Average Total Sales for North region where Quantity &gt; 2</t>
  </si>
  <si>
    <t>Ord-110</t>
  </si>
  <si>
    <t>Dipayan Barua</t>
  </si>
  <si>
    <t>Ord-111</t>
  </si>
  <si>
    <t>Tamim Iqbal</t>
  </si>
  <si>
    <t>Ord-112</t>
  </si>
  <si>
    <t>Karina Kapur</t>
  </si>
  <si>
    <t>Ord-113</t>
  </si>
  <si>
    <t>Vini Chowdhury</t>
  </si>
  <si>
    <t>Ord-114</t>
  </si>
  <si>
    <t>Rodri Ghosh</t>
  </si>
  <si>
    <t>Ord-115</t>
  </si>
  <si>
    <t>Akash Chopra</t>
  </si>
  <si>
    <t>Product Name</t>
  </si>
  <si>
    <t>Standard Price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</si>
</sst>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-[$$-409]* #,##0.00_ ;_-[$$-409]* \-#,##0.00\ ;_-[$$-409]* &quot;-&quot;??_ ;_-@_ "/>
  </numFmts>
  <fonts count="26">
    <font>
      <sz val="11"/>
      <color theme="1"/>
      <name val="Calibri"/>
      <charset val="134"/>
      <scheme val="minor"/>
    </font>
    <font>
      <sz val="12"/>
      <color theme="1"/>
      <name val="Calibri"/>
      <charset val="134"/>
    </font>
    <font>
      <b/>
      <sz val="11"/>
      <color theme="0"/>
      <name val="Calibri"/>
      <charset val="134"/>
      <scheme val="minor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b/>
      <sz val="12"/>
      <color rgb="FF000000"/>
      <name val="Times New Roman"/>
      <charset val="134"/>
    </font>
    <font>
      <b/>
      <sz val="14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/>
      </left>
      <right/>
      <top style="thin">
        <color theme="4"/>
      </top>
      <bottom style="thin">
        <color theme="4" tint="0.399975585192419"/>
      </bottom>
      <diagonal/>
    </border>
    <border>
      <left/>
      <right/>
      <top style="thin">
        <color theme="4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/>
      </top>
      <bottom style="thin">
        <color theme="4" tint="0.399975585192419"/>
      </bottom>
      <diagonal/>
    </border>
    <border>
      <left style="thick">
        <color auto="1"/>
      </left>
      <right style="dashed">
        <color auto="1"/>
      </right>
      <top style="thick">
        <color auto="1"/>
      </top>
      <bottom style="dashed">
        <color auto="1"/>
      </bottom>
      <diagonal/>
    </border>
    <border>
      <left style="dashed">
        <color auto="1"/>
      </left>
      <right style="thick">
        <color auto="1"/>
      </right>
      <top style="thick">
        <color auto="1"/>
      </top>
      <bottom style="dashed">
        <color auto="1"/>
      </bottom>
      <diagonal/>
    </border>
    <border>
      <left style="thick">
        <color auto="1"/>
      </left>
      <right style="dashed">
        <color auto="1"/>
      </right>
      <top style="dashed">
        <color auto="1"/>
      </top>
      <bottom style="thick">
        <color auto="1"/>
      </bottom>
      <diagonal/>
    </border>
    <border>
      <left style="dashed">
        <color auto="1"/>
      </left>
      <right style="thick">
        <color auto="1"/>
      </right>
      <top style="dashed">
        <color auto="1"/>
      </top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9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12" applyNumberFormat="0" applyAlignment="0" applyProtection="0">
      <alignment vertical="center"/>
    </xf>
    <xf numFmtId="0" fontId="16" fillId="6" borderId="13" applyNumberFormat="0" applyAlignment="0" applyProtection="0">
      <alignment vertical="center"/>
    </xf>
    <xf numFmtId="0" fontId="17" fillId="6" borderId="12" applyNumberFormat="0" applyAlignment="0" applyProtection="0">
      <alignment vertical="center"/>
    </xf>
    <xf numFmtId="0" fontId="18" fillId="7" borderId="14" applyNumberFormat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1" xfId="0" applyFont="1" applyBorder="1">
      <alignment vertical="center"/>
    </xf>
    <xf numFmtId="178" fontId="1" fillId="0" borderId="1" xfId="0" applyNumberFormat="1" applyFont="1" applyBorder="1">
      <alignment vertical="center"/>
    </xf>
    <xf numFmtId="0" fontId="2" fillId="2" borderId="2" xfId="0" applyFont="1" applyFill="1" applyBorder="1">
      <alignment vertical="center"/>
    </xf>
    <xf numFmtId="0" fontId="2" fillId="2" borderId="3" xfId="0" applyFont="1" applyFill="1" applyBorder="1">
      <alignment vertical="center"/>
    </xf>
    <xf numFmtId="0" fontId="2" fillId="2" borderId="4" xfId="0" applyFont="1" applyFill="1" applyBorder="1">
      <alignment vertical="center"/>
    </xf>
    <xf numFmtId="8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3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6" fillId="3" borderId="5" xfId="0" applyFont="1" applyFill="1" applyBorder="1">
      <alignment vertical="center"/>
    </xf>
    <xf numFmtId="0" fontId="6" fillId="3" borderId="6" xfId="0" applyFont="1" applyFill="1" applyBorder="1">
      <alignment vertical="center"/>
    </xf>
    <xf numFmtId="0" fontId="0" fillId="0" borderId="7" xfId="0" applyBorder="1">
      <alignment vertical="center"/>
    </xf>
    <xf numFmtId="178" fontId="0" fillId="0" borderId="8" xfId="0" applyNumberFormat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1">
    <dxf>
      <numFmt numFmtId="8" formatCode="&quot;$&quot;#,##0.00_);[Red]\(&quot;$&quot;#,##0.00\)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3" name="Table3" displayName="Table3" ref="A1:J16" totalsRowShown="0">
  <autoFilter xmlns:etc="http://www.wps.cn/officeDocument/2017/etCustomData" ref="A1:J16" etc:filterBottomFollowUsedRange="0"/>
  <tableColumns count="10">
    <tableColumn id="1" name="Order ID"/>
    <tableColumn id="2" name="Salesperson"/>
    <tableColumn id="3" name="Region"/>
    <tableColumn id="4" name="Product"/>
    <tableColumn id="5" name="Quantity"/>
    <tableColumn id="6" name="Unit Price" dataDxfId="0"/>
    <tableColumn id="7" name="Total Sales" dataDxfId="1">
      <calculatedColumnFormula>(E2*F2)</calculatedColumnFormula>
    </tableColumn>
    <tableColumn id="8" name="Status">
      <calculatedColumnFormula>IF(G2&gt;=1500,"High Sale","Low Sale")</calculatedColumnFormula>
    </tableColumn>
    <tableColumn id="9" name="Performance" dataDxfId="2">
      <calculatedColumnFormula>IF(AND(E2&gt;=5,G2&gt;=3000),"Excellent",IF(OR(E2&gt;=5,G2&gt;=3000),"Good","Average"))</calculatedColumnFormula>
    </tableColumn>
    <tableColumn id="10" name="Sales Info" dataDxfId="3">
      <calculatedColumnFormula>_xlfn.TEXTJOIN(" - ",TRUE,B2,D2,C2)</calculatedColumnFormula>
    </tableColumn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3"/>
  <sheetViews>
    <sheetView tabSelected="1" workbookViewId="0">
      <selection activeCell="L9" sqref="L9"/>
    </sheetView>
  </sheetViews>
  <sheetFormatPr defaultColWidth="8.88888888888889" defaultRowHeight="14.4"/>
  <cols>
    <col min="1" max="1" width="17.3333333333333" customWidth="1"/>
    <col min="2" max="8" width="16.4444444444444" customWidth="1"/>
    <col min="9" max="9" width="15" customWidth="1"/>
    <col min="10" max="10" width="30.2222222222222" customWidth="1"/>
    <col min="12" max="12" width="8.55555555555556" customWidth="1"/>
    <col min="13" max="13" width="55.3333333333333" customWidth="1"/>
    <col min="14" max="14" width="14.3333333333333"/>
  </cols>
  <sheetData>
    <row r="1" ht="25" customHeight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ht="25" customHeight="1" spans="1:14">
      <c r="A2" t="s">
        <v>10</v>
      </c>
      <c r="B2" t="s">
        <v>11</v>
      </c>
      <c r="C2" t="s">
        <v>12</v>
      </c>
      <c r="D2" t="s">
        <v>13</v>
      </c>
      <c r="E2">
        <v>5</v>
      </c>
      <c r="F2" s="6">
        <v>600</v>
      </c>
      <c r="G2" s="7">
        <f t="shared" ref="G2:G16" si="0">(E2*F2)</f>
        <v>3000</v>
      </c>
      <c r="H2" t="str">
        <f>IF(G2&gt;=1500,"High Sale","Low Sale")</f>
        <v>High Sale</v>
      </c>
      <c r="I2" s="7" t="str">
        <f t="shared" ref="I2:I16" si="1">IF(AND(E2&gt;=5,G2&gt;=3000),"Excellent",IF(OR(E2&gt;=5,G2&gt;=3000),"Good","Average"))</f>
        <v>Excellent</v>
      </c>
      <c r="J2" s="7" t="str">
        <f t="shared" ref="J2:J16" si="2">_xlfn.TEXTJOIN(" - ",TRUE,B2,D2,C2)</f>
        <v>Arnab Saha - Laptop - North</v>
      </c>
    </row>
    <row r="3" ht="25" customHeight="1" spans="1:14">
      <c r="A3" t="s">
        <v>14</v>
      </c>
      <c r="B3" t="s">
        <v>15</v>
      </c>
      <c r="C3" t="s">
        <v>16</v>
      </c>
      <c r="D3" t="s">
        <v>17</v>
      </c>
      <c r="E3">
        <v>2</v>
      </c>
      <c r="F3" s="6">
        <v>300</v>
      </c>
      <c r="G3" s="7">
        <f t="shared" si="0"/>
        <v>600</v>
      </c>
      <c r="H3" t="str">
        <f>IF(G3&gt;=1500,"High Sale","Low Sale")</f>
        <v>Low Sale</v>
      </c>
      <c r="I3" s="7" t="str">
        <f t="shared" si="1"/>
        <v>Average</v>
      </c>
      <c r="J3" s="7" t="str">
        <f t="shared" si="2"/>
        <v>Prottay Saha - Mobile - East</v>
      </c>
    </row>
    <row r="4" ht="25" customHeight="1" spans="1:14">
      <c r="A4" t="s">
        <v>18</v>
      </c>
      <c r="B4" t="s">
        <v>19</v>
      </c>
      <c r="C4" t="s">
        <v>12</v>
      </c>
      <c r="D4" t="s">
        <v>20</v>
      </c>
      <c r="E4">
        <v>7</v>
      </c>
      <c r="F4" s="6">
        <v>400</v>
      </c>
      <c r="G4" s="7">
        <f t="shared" si="0"/>
        <v>2800</v>
      </c>
      <c r="H4" t="str">
        <f t="shared" ref="H3:H16" si="3">IF(G4&gt;=1500,"High Sale","Low Sale")</f>
        <v>High Sale</v>
      </c>
      <c r="I4" s="7" t="str">
        <f t="shared" si="1"/>
        <v>Good</v>
      </c>
      <c r="J4" s="7" t="str">
        <f t="shared" si="2"/>
        <v>Arnab Prottay - Tablet - North</v>
      </c>
    </row>
    <row r="5" ht="25" customHeight="1" spans="1:14">
      <c r="A5" t="s">
        <v>21</v>
      </c>
      <c r="B5" t="s">
        <v>22</v>
      </c>
      <c r="C5" t="s">
        <v>23</v>
      </c>
      <c r="D5" t="s">
        <v>13</v>
      </c>
      <c r="E5">
        <v>9</v>
      </c>
      <c r="F5" s="6">
        <v>600</v>
      </c>
      <c r="G5" s="7">
        <f t="shared" si="0"/>
        <v>5400</v>
      </c>
      <c r="H5" t="str">
        <f t="shared" si="3"/>
        <v>High Sale</v>
      </c>
      <c r="I5" s="7" t="str">
        <f t="shared" si="1"/>
        <v>Excellent</v>
      </c>
      <c r="J5" s="7" t="str">
        <f t="shared" si="2"/>
        <v>Arpita Saha - Laptop - South</v>
      </c>
      <c r="M5" s="8" t="s">
        <v>24</v>
      </c>
      <c r="N5" s="9">
        <f>SUMIF(D2:D16,"Laptop",G2:G16)</f>
        <v>12600</v>
      </c>
    </row>
    <row r="6" ht="25" customHeight="1" spans="1:14">
      <c r="A6" t="s">
        <v>25</v>
      </c>
      <c r="B6" t="s">
        <v>26</v>
      </c>
      <c r="C6" t="s">
        <v>27</v>
      </c>
      <c r="D6" t="s">
        <v>17</v>
      </c>
      <c r="E6">
        <v>5</v>
      </c>
      <c r="F6" s="6">
        <v>300</v>
      </c>
      <c r="G6" s="7">
        <f t="shared" si="0"/>
        <v>1500</v>
      </c>
      <c r="H6" t="str">
        <f t="shared" si="3"/>
        <v>High Sale</v>
      </c>
      <c r="I6" s="7" t="str">
        <f t="shared" si="1"/>
        <v>Good</v>
      </c>
      <c r="J6" s="7" t="str">
        <f t="shared" si="2"/>
        <v>Alex Hales - Mobile - West</v>
      </c>
      <c r="M6" s="10" t="s">
        <v>28</v>
      </c>
      <c r="N6" s="9">
        <f>COUNTIF(C2:C16,"North")</f>
        <v>3</v>
      </c>
    </row>
    <row r="7" ht="25" customHeight="1" spans="1:14">
      <c r="A7" t="s">
        <v>29</v>
      </c>
      <c r="B7" t="s">
        <v>30</v>
      </c>
      <c r="C7" t="s">
        <v>16</v>
      </c>
      <c r="D7" t="s">
        <v>20</v>
      </c>
      <c r="E7">
        <v>4</v>
      </c>
      <c r="F7" s="6">
        <v>400</v>
      </c>
      <c r="G7" s="7">
        <f t="shared" si="0"/>
        <v>1600</v>
      </c>
      <c r="H7" t="str">
        <f t="shared" si="3"/>
        <v>High Sale</v>
      </c>
      <c r="I7" s="7" t="str">
        <f t="shared" si="1"/>
        <v>Average</v>
      </c>
      <c r="J7" s="7" t="str">
        <f t="shared" si="2"/>
        <v>Rahim Rahman - Tablet - East</v>
      </c>
      <c r="M7" s="8" t="s">
        <v>31</v>
      </c>
      <c r="N7" s="9">
        <f>SUMIFS(G2:G16,D2:D16,"Mobile",C2:C16,"South")</f>
        <v>4200</v>
      </c>
    </row>
    <row r="8" ht="25" customHeight="1" spans="1:14">
      <c r="A8" t="s">
        <v>32</v>
      </c>
      <c r="B8" t="s">
        <v>33</v>
      </c>
      <c r="C8" t="s">
        <v>16</v>
      </c>
      <c r="D8" t="s">
        <v>13</v>
      </c>
      <c r="E8">
        <v>1</v>
      </c>
      <c r="F8" s="6">
        <v>600</v>
      </c>
      <c r="G8" s="7">
        <f t="shared" si="0"/>
        <v>600</v>
      </c>
      <c r="H8" t="str">
        <f t="shared" si="3"/>
        <v>Low Sale</v>
      </c>
      <c r="I8" s="7" t="str">
        <f t="shared" si="1"/>
        <v>Average</v>
      </c>
      <c r="J8" s="7" t="str">
        <f t="shared" si="2"/>
        <v>Karim Khandakar - Laptop - East</v>
      </c>
      <c r="M8" s="8" t="s">
        <v>34</v>
      </c>
      <c r="N8" s="9">
        <f>COUNTIFS(C2:C16,"East",G2:G16,"&gt;1000")</f>
        <v>3</v>
      </c>
    </row>
    <row r="9" ht="25" customHeight="1" spans="1:14">
      <c r="A9" t="s">
        <v>35</v>
      </c>
      <c r="B9" t="s">
        <v>36</v>
      </c>
      <c r="C9" t="s">
        <v>12</v>
      </c>
      <c r="D9" t="s">
        <v>17</v>
      </c>
      <c r="E9">
        <v>3</v>
      </c>
      <c r="F9" s="6">
        <v>300</v>
      </c>
      <c r="G9" s="7">
        <f t="shared" si="0"/>
        <v>900</v>
      </c>
      <c r="H9" t="str">
        <f t="shared" si="3"/>
        <v>Low Sale</v>
      </c>
      <c r="I9" s="7" t="str">
        <f t="shared" si="1"/>
        <v>Average</v>
      </c>
      <c r="J9" s="7" t="str">
        <f t="shared" si="2"/>
        <v>Purba Saha - Mobile - North</v>
      </c>
      <c r="M9" s="8" t="s">
        <v>37</v>
      </c>
      <c r="N9" s="9">
        <f>AVERAGEIF(D2:D16,"Tablet",G2:G16)</f>
        <v>1733.33333333333</v>
      </c>
    </row>
    <row r="10" ht="25" customHeight="1" spans="1:14">
      <c r="A10" t="s">
        <v>38</v>
      </c>
      <c r="B10" t="s">
        <v>39</v>
      </c>
      <c r="C10" t="s">
        <v>23</v>
      </c>
      <c r="D10" t="s">
        <v>20</v>
      </c>
      <c r="E10">
        <v>2</v>
      </c>
      <c r="F10" s="6">
        <v>400</v>
      </c>
      <c r="G10" s="7">
        <f t="shared" si="0"/>
        <v>800</v>
      </c>
      <c r="H10" t="str">
        <f t="shared" si="3"/>
        <v>Low Sale</v>
      </c>
      <c r="I10" s="7" t="str">
        <f t="shared" si="1"/>
        <v>Average</v>
      </c>
      <c r="J10" s="7" t="str">
        <f t="shared" si="2"/>
        <v>Kiron Das - Tablet - South</v>
      </c>
      <c r="M10" s="8" t="s">
        <v>40</v>
      </c>
      <c r="N10" s="9">
        <f>AVERAGEIFS(G2:G16,C2:C16,"North",E2:E16,"&gt;2")</f>
        <v>2233.33333333333</v>
      </c>
    </row>
    <row r="11" ht="25" customHeight="1" spans="1:14">
      <c r="A11" t="s">
        <v>41</v>
      </c>
      <c r="B11" t="s">
        <v>42</v>
      </c>
      <c r="C11" t="s">
        <v>16</v>
      </c>
      <c r="D11" t="s">
        <v>13</v>
      </c>
      <c r="E11">
        <v>3</v>
      </c>
      <c r="F11" s="6">
        <v>600</v>
      </c>
      <c r="G11" s="7">
        <f t="shared" si="0"/>
        <v>1800</v>
      </c>
      <c r="H11" t="str">
        <f t="shared" si="3"/>
        <v>High Sale</v>
      </c>
      <c r="I11" s="7" t="str">
        <f t="shared" si="1"/>
        <v>Average</v>
      </c>
      <c r="J11" s="7" t="str">
        <f t="shared" si="2"/>
        <v>Dipayan Barua - Laptop - East</v>
      </c>
    </row>
    <row r="12" ht="25" customHeight="1" spans="1:14">
      <c r="A12" t="s">
        <v>43</v>
      </c>
      <c r="B12" t="s">
        <v>44</v>
      </c>
      <c r="C12" t="s">
        <v>27</v>
      </c>
      <c r="D12" t="s">
        <v>17</v>
      </c>
      <c r="E12">
        <v>3</v>
      </c>
      <c r="F12" s="6">
        <v>300</v>
      </c>
      <c r="G12" s="7">
        <f t="shared" si="0"/>
        <v>900</v>
      </c>
      <c r="H12" t="str">
        <f t="shared" si="3"/>
        <v>Low Sale</v>
      </c>
      <c r="I12" s="7" t="str">
        <f t="shared" si="1"/>
        <v>Average</v>
      </c>
      <c r="J12" s="7" t="str">
        <f t="shared" si="2"/>
        <v>Tamim Iqbal - Mobile - West</v>
      </c>
    </row>
    <row r="13" ht="25" customHeight="1" spans="1:14">
      <c r="A13" t="s">
        <v>45</v>
      </c>
      <c r="B13" t="s">
        <v>46</v>
      </c>
      <c r="C13" t="s">
        <v>27</v>
      </c>
      <c r="D13" t="s">
        <v>17</v>
      </c>
      <c r="E13">
        <v>9</v>
      </c>
      <c r="F13" s="6">
        <v>300</v>
      </c>
      <c r="G13" s="7">
        <f t="shared" si="0"/>
        <v>2700</v>
      </c>
      <c r="H13" t="str">
        <f t="shared" si="3"/>
        <v>High Sale</v>
      </c>
      <c r="I13" s="7" t="str">
        <f t="shared" si="1"/>
        <v>Good</v>
      </c>
      <c r="J13" s="7" t="str">
        <f t="shared" si="2"/>
        <v>Karina Kapur - Mobile - West</v>
      </c>
    </row>
    <row r="14" ht="25" customHeight="1" spans="1:14">
      <c r="A14" t="s">
        <v>47</v>
      </c>
      <c r="B14" t="s">
        <v>48</v>
      </c>
      <c r="C14" t="s">
        <v>23</v>
      </c>
      <c r="D14" t="s">
        <v>17</v>
      </c>
      <c r="E14">
        <v>8</v>
      </c>
      <c r="F14" s="6">
        <v>300</v>
      </c>
      <c r="G14" s="7">
        <f t="shared" si="0"/>
        <v>2400</v>
      </c>
      <c r="H14" t="str">
        <f t="shared" si="3"/>
        <v>High Sale</v>
      </c>
      <c r="I14" s="7" t="str">
        <f t="shared" si="1"/>
        <v>Good</v>
      </c>
      <c r="J14" s="7" t="str">
        <f t="shared" si="2"/>
        <v>Vini Chowdhury - Mobile - South</v>
      </c>
    </row>
    <row r="15" ht="25" customHeight="1" spans="1:14">
      <c r="A15" t="s">
        <v>49</v>
      </c>
      <c r="B15" t="s">
        <v>50</v>
      </c>
      <c r="C15" t="s">
        <v>23</v>
      </c>
      <c r="D15" t="s">
        <v>17</v>
      </c>
      <c r="E15">
        <v>6</v>
      </c>
      <c r="F15" s="6">
        <v>300</v>
      </c>
      <c r="G15" s="7">
        <f t="shared" si="0"/>
        <v>1800</v>
      </c>
      <c r="H15" t="str">
        <f t="shared" si="3"/>
        <v>High Sale</v>
      </c>
      <c r="I15" s="7" t="str">
        <f t="shared" si="1"/>
        <v>Good</v>
      </c>
      <c r="J15" s="7" t="str">
        <f t="shared" si="2"/>
        <v>Rodri Ghosh - Mobile - South</v>
      </c>
    </row>
    <row r="16" ht="25" customHeight="1" spans="1:14">
      <c r="A16" t="s">
        <v>51</v>
      </c>
      <c r="B16" t="s">
        <v>52</v>
      </c>
      <c r="C16" t="s">
        <v>16</v>
      </c>
      <c r="D16" t="s">
        <v>13</v>
      </c>
      <c r="E16">
        <v>3</v>
      </c>
      <c r="F16" s="6">
        <v>600</v>
      </c>
      <c r="G16" s="7">
        <f t="shared" si="0"/>
        <v>1800</v>
      </c>
      <c r="H16" t="str">
        <f t="shared" si="3"/>
        <v>High Sale</v>
      </c>
      <c r="I16" s="7" t="str">
        <f t="shared" si="1"/>
        <v>Average</v>
      </c>
      <c r="J16" s="7" t="str">
        <f t="shared" si="2"/>
        <v>Akash Chopra - Laptop - East</v>
      </c>
    </row>
    <row r="21" ht="18.15" spans="1:2">
      <c r="A21" s="11" t="s">
        <v>53</v>
      </c>
      <c r="B21" s="12" t="s">
        <v>5</v>
      </c>
    </row>
    <row r="22" ht="15.15" spans="1:2">
      <c r="A22" s="13" t="s">
        <v>17</v>
      </c>
      <c r="B22" s="14">
        <f>VLOOKUP(A22,'Product Price List'!A1:B4,2)</f>
        <v>300</v>
      </c>
    </row>
    <row r="23" ht="15.15"/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workbookViewId="0">
      <selection activeCell="A2" sqref="A2"/>
    </sheetView>
  </sheetViews>
  <sheetFormatPr defaultColWidth="8.88888888888889" defaultRowHeight="14.4" outlineLevelRow="5"/>
  <cols>
    <col min="1" max="9" width="17.8888888888889" customWidth="1"/>
  </cols>
  <sheetData>
    <row r="1" spans="1: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</row>
    <row r="2" spans="1:9">
      <c r="A2" t="str" cm="1">
        <f t="array" ref="A2:I6">_xlfn._xlws.FILTER('Sales Data'!A2:I16,'Sales Data'!G2:G16&gt;2000)</f>
        <v>Ord-101</v>
      </c>
      <c r="B2" t="str">
        <v>Arnab Saha</v>
      </c>
      <c r="C2" t="str">
        <v>North</v>
      </c>
      <c r="D2" t="str">
        <v>Laptop</v>
      </c>
      <c r="E2">
        <v>5</v>
      </c>
      <c r="F2">
        <v>600</v>
      </c>
      <c r="G2">
        <v>3000</v>
      </c>
      <c r="H2" t="str">
        <v>High Sale</v>
      </c>
      <c r="I2" t="str">
        <v>Excellent</v>
      </c>
    </row>
    <row r="3" spans="1:9">
      <c r="A3" t="str">
        <v>Ord-103</v>
      </c>
      <c r="B3" t="str">
        <v>Arnab Prottay</v>
      </c>
      <c r="C3" t="str">
        <v>North</v>
      </c>
      <c r="D3" t="str">
        <v>Tablet</v>
      </c>
      <c r="E3">
        <v>7</v>
      </c>
      <c r="F3">
        <v>400</v>
      </c>
      <c r="G3">
        <v>2800</v>
      </c>
      <c r="H3" t="str">
        <v>High Sale</v>
      </c>
      <c r="I3" t="str">
        <v>Good</v>
      </c>
    </row>
    <row r="4" spans="1:9">
      <c r="A4" t="str">
        <v>Ord-104</v>
      </c>
      <c r="B4" t="str">
        <v>Arpita Saha</v>
      </c>
      <c r="C4" t="str">
        <v>South</v>
      </c>
      <c r="D4" t="str">
        <v>Laptop</v>
      </c>
      <c r="E4">
        <v>9</v>
      </c>
      <c r="F4">
        <v>600</v>
      </c>
      <c r="G4">
        <v>5400</v>
      </c>
      <c r="H4" t="str">
        <v>High Sale</v>
      </c>
      <c r="I4" t="str">
        <v>Excellent</v>
      </c>
    </row>
    <row r="5" spans="1:9">
      <c r="A5" t="str">
        <v>Ord-112</v>
      </c>
      <c r="B5" t="str">
        <v>Karina Kapur</v>
      </c>
      <c r="C5" t="str">
        <v>West</v>
      </c>
      <c r="D5" t="str">
        <v>Mobile</v>
      </c>
      <c r="E5">
        <v>9</v>
      </c>
      <c r="F5">
        <v>300</v>
      </c>
      <c r="G5">
        <v>2700</v>
      </c>
      <c r="H5" t="str">
        <v>High Sale</v>
      </c>
      <c r="I5" t="str">
        <v>Good</v>
      </c>
    </row>
    <row r="6" spans="1:9">
      <c r="A6" t="str">
        <v>Ord-113</v>
      </c>
      <c r="B6" t="str">
        <v>Vini Chowdhury</v>
      </c>
      <c r="C6" t="str">
        <v>South</v>
      </c>
      <c r="D6" t="str">
        <v>Mobile</v>
      </c>
      <c r="E6">
        <v>8</v>
      </c>
      <c r="F6">
        <v>300</v>
      </c>
      <c r="G6">
        <v>2400</v>
      </c>
      <c r="H6" t="str">
        <v>High Sale</v>
      </c>
      <c r="I6" t="str">
        <v>Good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D10" sqref="D10"/>
    </sheetView>
  </sheetViews>
  <sheetFormatPr defaultColWidth="8.88888888888889" defaultRowHeight="14.4" outlineLevelRow="3" outlineLevelCol="1"/>
  <cols>
    <col min="1" max="1" width="13.6666666666667" customWidth="1"/>
    <col min="2" max="2" width="14.1111111111111" customWidth="1"/>
  </cols>
  <sheetData>
    <row r="1" ht="15.6" spans="1:2">
      <c r="A1" s="1" t="s">
        <v>3</v>
      </c>
      <c r="B1" s="1" t="s">
        <v>54</v>
      </c>
    </row>
    <row r="2" ht="15.6" spans="1:2">
      <c r="A2" s="1" t="s">
        <v>13</v>
      </c>
      <c r="B2" s="2">
        <v>600</v>
      </c>
    </row>
    <row r="3" ht="15.6" spans="1:2">
      <c r="A3" s="1" t="s">
        <v>17</v>
      </c>
      <c r="B3" s="2">
        <v>300</v>
      </c>
    </row>
    <row r="4" ht="15.6" spans="1:2">
      <c r="A4" s="1" t="s">
        <v>20</v>
      </c>
      <c r="B4" s="2">
        <v>400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Sales Data</vt:lpstr>
      <vt:lpstr>High Value Sales</vt:lpstr>
      <vt:lpstr>Product Price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2026-09-20T17:20:00Z</dcterms:created>
  <dcterms:modified xsi:type="dcterms:W3CDTF">2026-09-21T12:05:07Z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547ADD6F450C40DE86CF1C98179CF2DD_11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